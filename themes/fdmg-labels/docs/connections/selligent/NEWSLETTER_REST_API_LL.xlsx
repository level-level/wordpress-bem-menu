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mattersnl.sharepoint.com/sites/Bestanden/EM-KlantenNL/Gedeelde documenten/FDMG/Opdracht/Templates en Nieuwsbrieven/"/>
    </mc:Choice>
  </mc:AlternateContent>
  <xr:revisionPtr revIDLastSave="0" documentId="8_{78010A9E-5A23-4B0C-BBFA-F9FA0C0EAEB1}" xr6:coauthVersionLast="47" xr6:coauthVersionMax="47" xr10:uidLastSave="{00000000-0000-0000-0000-000000000000}"/>
  <bookViews>
    <workbookView xWindow="-15000" yWindow="-12585" windowWidth="21600" windowHeight="11295" xr2:uid="{506A68A1-1ED2-442D-A292-5DBFD629F8D3}"/>
  </bookViews>
  <sheets>
    <sheet name="LEVEL LEVE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1" l="1"/>
  <c r="G9" i="1" s="1"/>
  <c r="J9" i="1" s="1"/>
  <c r="F11" i="1"/>
  <c r="G11" i="1"/>
  <c r="I11" i="1"/>
  <c r="J11" i="1"/>
  <c r="F12" i="1"/>
  <c r="G12" i="1" s="1"/>
  <c r="J12" i="1" s="1"/>
  <c r="F13" i="1"/>
  <c r="G13" i="1" s="1"/>
  <c r="J13" i="1" s="1"/>
  <c r="F14" i="1"/>
  <c r="G14" i="1" s="1"/>
  <c r="J14" i="1" s="1"/>
  <c r="G15" i="1"/>
  <c r="I15" i="1"/>
  <c r="J15" i="1"/>
  <c r="F19" i="1"/>
  <c r="G19" i="1" s="1"/>
  <c r="J19" i="1" s="1"/>
  <c r="G21" i="1"/>
  <c r="I21" i="1"/>
  <c r="J21" i="1"/>
  <c r="N21" i="1"/>
  <c r="P21" i="1"/>
  <c r="R21" i="1"/>
  <c r="F22" i="1"/>
  <c r="G22" i="1" s="1"/>
  <c r="J22" i="1" s="1"/>
  <c r="I22" i="1"/>
  <c r="F34" i="1"/>
  <c r="G34" i="1"/>
  <c r="I34" i="1"/>
  <c r="J34" i="1"/>
  <c r="F40" i="1"/>
  <c r="G40" i="1" s="1"/>
  <c r="I40" i="1" s="1"/>
  <c r="J40" i="1" s="1"/>
  <c r="F42" i="1"/>
  <c r="G42" i="1"/>
  <c r="G43" i="1" s="1"/>
  <c r="I42" i="1"/>
  <c r="I43" i="1" s="1"/>
  <c r="I44" i="1" s="1"/>
  <c r="I45" i="1" s="1"/>
  <c r="J42" i="1" l="1"/>
  <c r="I13" i="1"/>
  <c r="I14" i="1"/>
  <c r="I12" i="1"/>
  <c r="I9" i="1"/>
  <c r="I19" i="1"/>
</calcChain>
</file>

<file path=xl/sharedStrings.xml><?xml version="1.0" encoding="utf-8"?>
<sst xmlns="http://schemas.openxmlformats.org/spreadsheetml/2006/main" count="166" uniqueCount="122">
  <si>
    <t>API_Energeia*</t>
  </si>
  <si>
    <t>API_Pensioen_Pro*</t>
  </si>
  <si>
    <t>API_Impact_Investor</t>
  </si>
  <si>
    <t>USER {PRODUCTIE}</t>
  </si>
  <si>
    <t>API_Energeia_test</t>
  </si>
  <si>
    <t>API_Pensioen_Pro_test</t>
  </si>
  <si>
    <t>API_Impact_investor_test</t>
  </si>
  <si>
    <t>USER {pre-prod}</t>
  </si>
  <si>
    <t>{0/NULL,1}</t>
  </si>
  <si>
    <t>OPTIN_COMMERCIEEL</t>
  </si>
  <si>
    <t>OPTIN_NIEUWSBRIEF</t>
  </si>
  <si>
    <t>bestaat (nog) niet</t>
  </si>
  <si>
    <t>{bron}</t>
  </si>
  <si>
    <t>SOURCE</t>
  </si>
  <si>
    <t>{emailadres}</t>
  </si>
  <si>
    <t>MAIL</t>
  </si>
  <si>
    <t>Nog niet actief</t>
  </si>
  <si>
    <t>*</t>
  </si>
  <si>
    <t>OPTIN_ENERGIEA</t>
  </si>
  <si>
    <t>OPTIN_PENSIOENPRO</t>
  </si>
  <si>
    <t>OPTIN_IMPACTINVESTOR</t>
  </si>
  <si>
    <t>OPT-IN GATE</t>
  </si>
  <si>
    <t>WEEKLY</t>
  </si>
  <si>
    <t>DAILY</t>
  </si>
  <si>
    <t>MVP</t>
  </si>
  <si>
    <t>TYPE</t>
  </si>
  <si>
    <t>ENERGEIA</t>
  </si>
  <si>
    <t>PENSIOENPRO</t>
  </si>
  <si>
    <t>IMPACT_INVESTOR</t>
  </si>
  <si>
    <t>PUBLICATION</t>
  </si>
  <si>
    <t>NEWSLETTER_ENERGIEA*</t>
  </si>
  <si>
    <t>NEWSLETTER_PENSIOENPRO*</t>
  </si>
  <si>
    <t>NEWSLETTER_IMPACTINVESTOR</t>
  </si>
  <si>
    <t>NEWSLETTER GATE</t>
  </si>
  <si>
    <t>https://messagent.fdmediagroep.nl/PXUGU3qXQbRbRO__hlhyAi/0wx0r2XX-yPyM4Is8jKT/R_eUCOHuYsf-XgBtgTQ8/TNrTQ92KC1R4fKzt-4SK/CDvayduhMtxtcxkZjsMp/Wqy3YzgHbHDlpExAQA9v/1T0L/IsWY.php?ID=2UuUZDhq</t>
  </si>
  <si>
    <t>Alles in ARTICLEGROUP_1</t>
  </si>
  <si>
    <t>AUDIENCE_SIZE</t>
  </si>
  <si>
    <t>Energeia - WEEKLY</t>
  </si>
  <si>
    <t>VERSION</t>
  </si>
  <si>
    <t>https://messagent.fdmediagroep.nl/X-9CxTPmNt8QBhwklgjyut/LhgLcSI2RSLdAbmjws7f/PD5Hy9amzLleu9gxtC8v/FCRuCa4vnFnvzGQ2yvDt/bPbNmYlAr62v6wrFGOdH/jRbsTUKOXHQtGYvtwpEO/arL0/bjwU.php?ID=2sgecciS</t>
  </si>
  <si>
    <t>Artikelen uit het FD in ARTICLEGROUP_4</t>
  </si>
  <si>
    <t>ARTICLEGROUP_6_TITLE</t>
  </si>
  <si>
    <t>https://messagent.fdmediagroep.nl/vxLJl6K8B9W5PtDTofAByf/7zy7yadadbDCMM0VWAIt/wGtcLxLQzmeNzH3O9sB2/CjF39C_RsxBeee0Od3yY/ldpNFbxMw7wwBUvIe6i8/e7w873YOBRrMwlnsPNrM/LXBz/tYYO.php?ID=GFqjVipm</t>
  </si>
  <si>
    <t>Columns in ARTICLEGROUP_3</t>
  </si>
  <si>
    <t>ARTICLEGROUP_5_TITLE</t>
  </si>
  <si>
    <t>Trilemma in ARTICLEGROUP_2</t>
  </si>
  <si>
    <t>ARTICLEGROUP_4_TITLE</t>
  </si>
  <si>
    <t>Energienieuws in ARTICLEGROUP_1</t>
  </si>
  <si>
    <t>ARTICLEGROUP_3_TITLE</t>
  </si>
  <si>
    <t>Energeia - DAILY</t>
  </si>
  <si>
    <t>ARTICLEGROUP_2_TITLE</t>
  </si>
  <si>
    <t>https://messagent.fdmediagroep.nl/zJgNwmuhbuBWHSHklN08-b/cGHcJe75ppViGIvg9Ia7/1_t4gTUbshAUCIuN_KAN/XgsJgH6YRIleMOVw9PpI/rPVYzMAK3C8mUdxzlSjQ/W7hZSLYn6DUCS9BY54lR/29cq/vjRn.php?ID=8Xjyx4zI</t>
  </si>
  <si>
    <t>Paid content in ARTICLEGROUP_2</t>
  </si>
  <si>
    <t>ARTICLEGROUP_1_TITLE</t>
  </si>
  <si>
    <t>PP artikelen in ARTICLEGROUP_1</t>
  </si>
  <si>
    <t>ARTICLEGROUP_6</t>
  </si>
  <si>
    <t>Pensioen Pro - WEEKLY</t>
  </si>
  <si>
    <t>ARTICLEGROUP_5</t>
  </si>
  <si>
    <t>https://messagent.fdmediagroep.nl/9F_l6gySqrpdFkKWL-SZBu/JbaJbnHHiyYfIVOh9djX/J_3AKb3dcU8ZpQHB8YKR/FxENbtGZkrnOf3k7Q2Xh/DujC8PEG4VWfc6IrE86T/XFR-HAhEhBD1huIb-S_T/-pJl/uvyo.php?ID=2YocE6sP</t>
  </si>
  <si>
    <t>ARTICLEGROUP_4</t>
  </si>
  <si>
    <t>Pensioen Pro - DAILY</t>
  </si>
  <si>
    <t>ARTICLEGROUP_3</t>
  </si>
  <si>
    <t>https://messagent.fdmediagroep.nl/fDSsSzJu7FoV-EUZ1J1LI8/RjiRp9IJi_jmMXzEGPex/dADjoL-cIKMdOZ-FWe5I/NxnMfr6BcG0ygHoURmyc/feYxanPl7vWsg48rYRg1/KKkI03AHbSgRXBdRlVXE/qUlt/POLr.php?ID=c3x0SGt4</t>
  </si>
  <si>
    <t>ARTICLEGROUP_2</t>
  </si>
  <si>
    <t>Impact Investor</t>
  </si>
  <si>
    <t>→</t>
  </si>
  <si>
    <t>{artid1},{artid2},{artidn}</t>
  </si>
  <si>
    <t>ARTICLEGROUP_1</t>
  </si>
  <si>
    <t>OUTRO</t>
  </si>
  <si>
    <t>{0,1,2}</t>
  </si>
  <si>
    <t>TEST</t>
  </si>
  <si>
    <t>TITLE</t>
  </si>
  <si>
    <t>IMAGE</t>
  </si>
  <si>
    <t>NEWSLETTER_GENERATE_PROCESS</t>
  </si>
  <si>
    <t>{intro-tekst}</t>
  </si>
  <si>
    <t>INTRODUCTION</t>
  </si>
  <si>
    <t>{pre-header}</t>
  </si>
  <si>
    <t>PREHEADER</t>
  </si>
  <si>
    <t>{onderwerpregel}</t>
  </si>
  <si>
    <t>SUBJECT</t>
  </si>
  <si>
    <t>NEWSLETTER_GENERATED_DT</t>
  </si>
  <si>
    <t>NEWSLETTER_GENERATED</t>
  </si>
  <si>
    <t>LANGUAGE</t>
  </si>
  <si>
    <t>TAXONOMY</t>
  </si>
  <si>
    <t>MODIFIED_DT</t>
  </si>
  <si>
    <t>CREATED_DT</t>
  </si>
  <si>
    <t>ID</t>
  </si>
  <si>
    <r>
      <rPr>
        <b/>
        <sz val="12"/>
        <color rgb="FFC00000"/>
        <rFont val="Calibri"/>
        <family val="2"/>
        <scheme val="minor"/>
      </rPr>
      <t>1780</t>
    </r>
    <r>
      <rPr>
        <sz val="12"/>
        <color rgb="FFC00000"/>
        <rFont val="Calibri"/>
        <family val="2"/>
        <scheme val="minor"/>
      </rPr>
      <t xml:space="preserve"> {pre-prod} </t>
    </r>
    <r>
      <rPr>
        <sz val="12"/>
        <color theme="1"/>
        <rFont val="Calibri"/>
        <family val="2"/>
        <scheme val="minor"/>
      </rPr>
      <t>|</t>
    </r>
    <r>
      <rPr>
        <b/>
        <sz val="12"/>
        <color theme="1"/>
        <rFont val="Calibri"/>
        <family val="2"/>
        <scheme val="minor"/>
      </rPr>
      <t xml:space="preserve"> </t>
    </r>
    <r>
      <rPr>
        <b/>
        <sz val="12"/>
        <color rgb="FF00B050"/>
        <rFont val="Calibri"/>
        <family val="2"/>
        <scheme val="minor"/>
      </rPr>
      <t>1979</t>
    </r>
    <r>
      <rPr>
        <sz val="12"/>
        <color rgb="FF00B050"/>
        <rFont val="Calibri"/>
        <family val="2"/>
        <scheme val="minor"/>
      </rPr>
      <t xml:space="preserve"> [PRODUCTIIE]</t>
    </r>
  </si>
  <si>
    <t>↔</t>
  </si>
  <si>
    <t>ARTICLES_NEWSLETTER_CONTENT</t>
  </si>
  <si>
    <t>{url naar vierkante versie afb.}</t>
  </si>
  <si>
    <t>IMG_SQUARE</t>
  </si>
  <si>
    <t>Spelling afhankelijk van taal nieuwsbrief: EN/NL {oct vs. okt)</t>
  </si>
  <si>
    <t>{d mmm}</t>
  </si>
  <si>
    <t>{d mmmm}</t>
  </si>
  <si>
    <t>{uu:mm}</t>
  </si>
  <si>
    <t>indien vandaag: tijd, anders datum</t>
  </si>
  <si>
    <t>{uu:mm} / {d mmm}</t>
  </si>
  <si>
    <t>{uu:mm} / {d mmmm}</t>
  </si>
  <si>
    <t>PUBLICATION_TIME</t>
  </si>
  <si>
    <t>in minuten!</t>
  </si>
  <si>
    <t>{1,2,3,4,5,..}</t>
  </si>
  <si>
    <t>READING_TIME</t>
  </si>
  <si>
    <t>URL_3</t>
  </si>
  <si>
    <t>URL_2</t>
  </si>
  <si>
    <t>URL_1</t>
  </si>
  <si>
    <t>{nieuwssectie}</t>
  </si>
  <si>
    <t>NEWS_SECTION</t>
  </si>
  <si>
    <t>{url naar artikel}</t>
  </si>
  <si>
    <t>CTA</t>
  </si>
  <si>
    <t>{url naar afbeelding}</t>
  </si>
  <si>
    <t>IMG</t>
  </si>
  <si>
    <t>{teaser-tekst}</t>
  </si>
  <si>
    <t>TEASER</t>
  </si>
  <si>
    <t>{title}</t>
  </si>
  <si>
    <t>{artid}</t>
  </si>
  <si>
    <t>ARTICLEID</t>
  </si>
  <si>
    <r>
      <rPr>
        <b/>
        <sz val="12"/>
        <color rgb="FFC00000"/>
        <rFont val="Calibri"/>
        <family val="2"/>
        <scheme val="minor"/>
      </rPr>
      <t>1778</t>
    </r>
    <r>
      <rPr>
        <sz val="12"/>
        <color rgb="FFC00000"/>
        <rFont val="Calibri"/>
        <family val="2"/>
        <scheme val="minor"/>
      </rPr>
      <t xml:space="preserve"> {pre-prod} </t>
    </r>
    <r>
      <rPr>
        <sz val="12"/>
        <color theme="1"/>
        <rFont val="Calibri"/>
        <family val="2"/>
        <scheme val="minor"/>
      </rPr>
      <t>|</t>
    </r>
    <r>
      <rPr>
        <b/>
        <sz val="12"/>
        <color theme="1"/>
        <rFont val="Calibri"/>
        <family val="2"/>
        <scheme val="minor"/>
      </rPr>
      <t xml:space="preserve"> </t>
    </r>
    <r>
      <rPr>
        <b/>
        <sz val="12"/>
        <color rgb="FF00B050"/>
        <rFont val="Calibri"/>
        <family val="2"/>
        <scheme val="minor"/>
      </rPr>
      <t>1980</t>
    </r>
    <r>
      <rPr>
        <sz val="12"/>
        <color rgb="FF00B050"/>
        <rFont val="Calibri"/>
        <family val="2"/>
        <scheme val="minor"/>
      </rPr>
      <t xml:space="preserve"> [PRODUCTIIE]</t>
    </r>
  </si>
  <si>
    <t>ARTICLES_NEWSLETTER</t>
  </si>
  <si>
    <t>Opmerkingen…</t>
  </si>
  <si>
    <t>Energeia</t>
  </si>
  <si>
    <t>Pensioen Pro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</si>
</sst>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 mmm"/>
    <numFmt numFmtId="165" formatCode="d\ mmmm"/>
  </numFmts>
  <fonts count="23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6"/>
      <name val="Calibri"/>
      <family val="2"/>
      <scheme val="minor"/>
    </font>
    <font>
      <sz val="11"/>
      <color theme="6" tint="-0.249977111117893"/>
      <name val="Calibri"/>
      <family val="2"/>
      <scheme val="minor"/>
    </font>
    <font>
      <i/>
      <sz val="10"/>
      <color rgb="FF7030A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8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C00000"/>
      <name val="Calibri"/>
      <family val="2"/>
      <scheme val="minor"/>
    </font>
    <font>
      <sz val="12"/>
      <color rgb="FFC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B050"/>
      <name val="Calibri"/>
      <family val="2"/>
      <scheme val="minor"/>
    </font>
    <font>
      <sz val="12"/>
      <color rgb="FF00B05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rgb="FF9C57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Dashed">
        <color auto="1"/>
      </top>
      <bottom/>
      <diagonal/>
    </border>
    <border>
      <left/>
      <right/>
      <top/>
      <bottom style="mediumDashed">
        <color auto="1"/>
      </bottom>
      <diagonal/>
    </border>
    <border>
      <left style="dashed">
        <color auto="1"/>
      </left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10" fillId="0" borderId="0" applyNumberFormat="0" applyFill="0" applyBorder="0" applyAlignment="0" applyProtection="0"/>
  </cellStyleXfs>
  <cellXfs count="57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5" fillId="3" borderId="0" xfId="0" applyFont="1" applyFill="1" applyAlignment="1">
      <alignment vertical="center"/>
    </xf>
    <xf numFmtId="0" fontId="6" fillId="0" borderId="0" xfId="0" applyFont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2" fillId="4" borderId="3" xfId="0" applyFont="1" applyFill="1" applyBorder="1" applyAlignment="1">
      <alignment horizontal="center" vertical="center"/>
    </xf>
    <xf numFmtId="0" fontId="7" fillId="0" borderId="3" xfId="0" applyFont="1" applyBorder="1" applyAlignment="1">
      <alignment vertical="center"/>
    </xf>
    <xf numFmtId="0" fontId="2" fillId="5" borderId="3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8" fillId="0" borderId="3" xfId="0" applyFont="1" applyBorder="1" applyAlignment="1">
      <alignment horizontal="right" vertical="center"/>
    </xf>
    <xf numFmtId="0" fontId="0" fillId="3" borderId="2" xfId="0" applyFill="1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right" vertical="center"/>
    </xf>
    <xf numFmtId="0" fontId="0" fillId="0" borderId="5" xfId="0" applyBorder="1" applyAlignment="1">
      <alignment vertical="center"/>
    </xf>
    <xf numFmtId="0" fontId="9" fillId="0" borderId="5" xfId="0" applyFont="1" applyBorder="1" applyAlignment="1">
      <alignment vertical="center"/>
    </xf>
    <xf numFmtId="0" fontId="3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right" vertical="center"/>
    </xf>
    <xf numFmtId="0" fontId="11" fillId="0" borderId="0" xfId="2" applyFont="1" applyAlignment="1">
      <alignment vertical="center"/>
    </xf>
    <xf numFmtId="0" fontId="12" fillId="7" borderId="0" xfId="0" applyFont="1" applyFill="1" applyAlignment="1">
      <alignment horizontal="right" vertical="center"/>
    </xf>
    <xf numFmtId="0" fontId="0" fillId="3" borderId="0" xfId="0" applyFill="1" applyAlignment="1">
      <alignment vertical="center"/>
    </xf>
    <xf numFmtId="0" fontId="9" fillId="0" borderId="0" xfId="0" applyFont="1" applyAlignment="1">
      <alignment vertical="center"/>
    </xf>
    <xf numFmtId="0" fontId="2" fillId="4" borderId="0" xfId="0" applyFont="1" applyFill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12" fillId="8" borderId="0" xfId="0" applyFont="1" applyFill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2" fillId="5" borderId="0" xfId="0" applyFont="1" applyFill="1" applyAlignment="1">
      <alignment horizontal="right" vertical="center"/>
    </xf>
    <xf numFmtId="0" fontId="5" fillId="3" borderId="2" xfId="0" applyFont="1" applyFill="1" applyBorder="1" applyAlignment="1">
      <alignment vertical="center"/>
    </xf>
    <xf numFmtId="0" fontId="5" fillId="3" borderId="1" xfId="0" applyFont="1" applyFill="1" applyBorder="1" applyAlignment="1">
      <alignment vertical="center"/>
    </xf>
    <xf numFmtId="0" fontId="12" fillId="9" borderId="0" xfId="0" applyFont="1" applyFill="1" applyAlignment="1">
      <alignment horizontal="right" vertical="center"/>
    </xf>
    <xf numFmtId="0" fontId="2" fillId="6" borderId="0" xfId="0" applyFont="1" applyFill="1" applyAlignment="1">
      <alignment horizontal="right" vertical="center"/>
    </xf>
    <xf numFmtId="0" fontId="8" fillId="0" borderId="0" xfId="0" applyFont="1" applyAlignment="1">
      <alignment horizontal="center" vertical="center"/>
    </xf>
    <xf numFmtId="0" fontId="0" fillId="0" borderId="3" xfId="0" applyBorder="1" applyAlignment="1">
      <alignment vertical="center"/>
    </xf>
    <xf numFmtId="0" fontId="13" fillId="0" borderId="3" xfId="0" applyFont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  <xf numFmtId="20" fontId="0" fillId="0" borderId="0" xfId="0" applyNumberFormat="1" applyAlignment="1">
      <alignment vertical="center"/>
    </xf>
    <xf numFmtId="0" fontId="19" fillId="0" borderId="0" xfId="0" applyFont="1" applyAlignment="1">
      <alignment horizontal="center" vertical="center"/>
    </xf>
    <xf numFmtId="0" fontId="1" fillId="2" borderId="0" xfId="1" applyAlignment="1">
      <alignment horizontal="left" vertical="center"/>
    </xf>
    <xf numFmtId="0" fontId="20" fillId="2" borderId="0" xfId="1" applyFont="1" applyAlignment="1">
      <alignment horizontal="left" vertical="center"/>
    </xf>
    <xf numFmtId="0" fontId="21" fillId="0" borderId="0" xfId="0" applyFont="1" applyAlignment="1">
      <alignment horizontal="center" vertical="center"/>
    </xf>
    <xf numFmtId="0" fontId="22" fillId="4" borderId="0" xfId="0" applyFont="1" applyFill="1" applyAlignment="1">
      <alignment horizontal="center" vertical="center"/>
    </xf>
    <xf numFmtId="0" fontId="22" fillId="5" borderId="0" xfId="0" applyFont="1" applyFill="1" applyAlignment="1">
      <alignment horizontal="center" vertical="center"/>
    </xf>
    <xf numFmtId="0" fontId="22" fillId="6" borderId="0" xfId="0" applyFont="1" applyFill="1" applyAlignment="1">
      <alignment horizontal="center" vertical="center"/>
    </xf>
  </cellXfs>
  <cellStyles count="3">
    <cellStyle name="Hyperlink" xfId="2" builtinId="8"/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essagent.fdmediagroep.nl/PXUGU3qXQbRbRO__hlhyAi/0wx0r2XX-yPyM4Is8jKT/R_eUCOHuYsf-XgBtgTQ8/TNrTQ92KC1R4fKzt-4SK/CDvayduhMtxtcxkZjsMp/Wqy3YzgHbHDlpExAQA9v/1T0L/IsWY.php?ID=2UuUZDhq" TargetMode="External"/><Relationship Id="rId3" Type="http://schemas.openxmlformats.org/officeDocument/2006/relationships/hyperlink" Target="https://messagent.fdmediagroep.nl/zJgNwmuhbuBWHSHklN08-b/cGHcJe75ppViGIvg9Ia7/1_t4gTUbshAUCIuN_KAN/XgsJgH6YRIleMOVw9PpI/rPVYzMAK3C8mUdxzlSjQ/W7hZSLYn6DUCS9BY54lR/29cq/vjRn.php?ID=8Xjyx4zI" TargetMode="External"/><Relationship Id="rId7" Type="http://schemas.openxmlformats.org/officeDocument/2006/relationships/hyperlink" Target="https://messagent.fdmediagroep.nl/X-9CxTPmNt8QBhwklgjyut/LhgLcSI2RSLdAbmjws7f/PD5Hy9amzLleu9gxtC8v/FCRuCa4vnFnvzGQ2yvDt/bPbNmYlAr62v6wrFGOdH/jRbsTUKOXHQtGYvtwpEO/arL0/bjwU.php?ID=2sgecciS" TargetMode="External"/><Relationship Id="rId2" Type="http://schemas.openxmlformats.org/officeDocument/2006/relationships/hyperlink" Target="https://messagent.fdmediagroep.nl/9F_l6gySqrpdFkKWL-SZBu/JbaJbnHHiyYfIVOh9djX/J_3AKb3dcU8ZpQHB8YKR/FxENbtGZkrnOf3k7Q2Xh/DujC8PEG4VWfc6IrE86T/XFR-HAhEhBD1huIb-S_T/-pJl/uvyo.php?ID=2YocE6sP" TargetMode="External"/><Relationship Id="rId1" Type="http://schemas.openxmlformats.org/officeDocument/2006/relationships/hyperlink" Target="https://messagent.fdmediagroep.nl/fDSsSzJu7FoV-EUZ1J1LI8/RjiRp9IJi_jmMXzEGPex/dADjoL-cIKMdOZ-FWe5I/NxnMfr6BcG0ygHoURmyc/feYxanPl7vWsg48rYRg1/KKkI03AHbSgRXBdRlVXE/qUlt/POLr.php?ID=c3x0SGt4" TargetMode="External"/><Relationship Id="rId6" Type="http://schemas.openxmlformats.org/officeDocument/2006/relationships/hyperlink" Target="https://messagent.fdmediagroep.nl/vxLJl6K8B9W5PtDTofAByf/7zy7yadadbDCMM0VWAIt/wGtcLxLQzmeNzH3O9sB2/CjF39C_RsxBeee0Od3yY/ldpNFbxMw7wwBUvIe6i8/e7w873YOBRrMwlnsPNrM/LXBz/tYYO.php?ID=GFqjVipm" TargetMode="External"/><Relationship Id="rId5" Type="http://schemas.openxmlformats.org/officeDocument/2006/relationships/hyperlink" Target="https://messagent.fdmediagroep.nl/X-9CxTPmNt8QBhwklgjyut/LhgLcSI2RSLdAbmjws7f/PD5Hy9amzLleu9gxtC8v/FCRuCa4vnFnvzGQ2yvDt/bPbNmYlAr62v6wrFGOdH/jRbsTUKOXHQtGYvtwpEO/arL0/bjwU.php?ID=2sgecciS" TargetMode="External"/><Relationship Id="rId4" Type="http://schemas.openxmlformats.org/officeDocument/2006/relationships/hyperlink" Target="https://messagent.fdmediagroep.nl/X-9CxTPmNt8QBhwklgjyut/LhgLcSI2RSLdAbmjws7f/PD5Hy9amzLleu9gxtC8v/FCRuCa4vnFnvzGQ2yvDt/bPbNmYlAr62v6wrFGOdH/jRbsTUKOXHQtGYvtwpEO/arL0/bjwU.php?ID=2sgecci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F5279-DAC5-4196-892E-CCBCEC6F615C}">
  <dimension ref="B1:T69"/>
  <sheetViews>
    <sheetView tabSelected="1" zoomScaleNormal="100" workbookViewId="0">
      <pane ySplit="1" topLeftCell="A2" activePane="bottomLeft" state="frozen"/>
      <selection pane="bottomLeft" sqref="A1:XFD69"/>
    </sheetView>
  </sheetViews>
  <sheetFormatPr defaultRowHeight="15" x14ac:dyDescent="0.25"/>
  <cols>
    <col min="1" max="1" width="4.7109375" style="1" customWidth="1"/>
    <col min="2" max="2" width="40.85546875" style="3" bestFit="1" customWidth="1"/>
    <col min="3" max="3" width="4.7109375" style="1" customWidth="1"/>
    <col min="4" max="4" width="29.7109375" style="1" customWidth="1"/>
    <col min="5" max="5" width="4.7109375" style="1" customWidth="1"/>
    <col min="6" max="7" width="29.7109375" style="1" customWidth="1"/>
    <col min="8" max="8" width="4.7109375" style="1" customWidth="1"/>
    <col min="9" max="10" width="29.7109375" style="1" customWidth="1"/>
    <col min="11" max="11" width="4.7109375" style="2" customWidth="1"/>
    <col min="12" max="12" width="32.28515625" style="1" bestFit="1" customWidth="1"/>
    <col min="13" max="13" width="14.85546875" style="1" bestFit="1" customWidth="1"/>
    <col min="14" max="14" width="5.5703125" style="1" bestFit="1" customWidth="1"/>
    <col min="15" max="15" width="12.7109375" style="1" customWidth="1"/>
    <col min="16" max="16" width="10.5703125" style="1" bestFit="1" customWidth="1"/>
    <col min="17" max="17" width="10.42578125" style="1" customWidth="1"/>
    <col min="18" max="18" width="6.140625" style="1" bestFit="1" customWidth="1"/>
    <col min="19" max="19" width="9.140625" style="1"/>
    <col min="20" max="20" width="55.7109375" style="1" bestFit="1" customWidth="1"/>
    <col min="21" max="16384" width="9.140625" style="1"/>
  </cols>
  <sheetData>
    <row r="1" spans="2:20" s="50" customFormat="1" ht="21" x14ac:dyDescent="0.25">
      <c r="D1" s="56" t="s">
        <v>64</v>
      </c>
      <c r="F1" s="55" t="s">
        <v>121</v>
      </c>
      <c r="G1" s="4"/>
      <c r="I1" s="54" t="s">
        <v>120</v>
      </c>
      <c r="J1" s="4"/>
      <c r="K1" s="53"/>
      <c r="L1" s="52" t="s">
        <v>119</v>
      </c>
      <c r="M1" s="51"/>
      <c r="N1" s="51"/>
      <c r="O1" s="51"/>
      <c r="P1" s="51"/>
      <c r="Q1" s="51"/>
      <c r="R1" s="51"/>
      <c r="S1" s="51"/>
      <c r="T1" s="51"/>
    </row>
    <row r="3" spans="2:20" s="15" customFormat="1" ht="18.75" x14ac:dyDescent="0.25">
      <c r="B3" s="21" t="s">
        <v>118</v>
      </c>
      <c r="C3" s="46" t="s">
        <v>88</v>
      </c>
      <c r="D3" s="45" t="s">
        <v>117</v>
      </c>
      <c r="E3" s="45"/>
      <c r="F3" s="45"/>
      <c r="G3" s="45"/>
      <c r="H3" s="45"/>
      <c r="I3" s="45"/>
      <c r="J3" s="44"/>
      <c r="K3" s="43"/>
    </row>
    <row r="4" spans="2:20" s="1" customFormat="1" x14ac:dyDescent="0.25">
      <c r="B4" s="35" t="s">
        <v>86</v>
      </c>
      <c r="D4" s="32"/>
      <c r="F4" s="10"/>
      <c r="G4" s="9"/>
      <c r="I4" s="10"/>
      <c r="J4" s="9"/>
      <c r="K4" s="2"/>
    </row>
    <row r="5" spans="2:20" s="1" customFormat="1" x14ac:dyDescent="0.25">
      <c r="B5" s="3" t="s">
        <v>85</v>
      </c>
      <c r="D5" s="32"/>
      <c r="F5" s="10"/>
      <c r="G5" s="9"/>
      <c r="I5" s="10"/>
      <c r="J5" s="9"/>
      <c r="K5" s="2"/>
    </row>
    <row r="6" spans="2:20" s="1" customFormat="1" x14ac:dyDescent="0.25">
      <c r="B6" s="35" t="s">
        <v>84</v>
      </c>
      <c r="D6" s="32"/>
      <c r="F6" s="10"/>
      <c r="G6" s="9"/>
      <c r="I6" s="10"/>
      <c r="J6" s="9"/>
      <c r="K6" s="2"/>
    </row>
    <row r="7" spans="2:20" s="1" customFormat="1" x14ac:dyDescent="0.25">
      <c r="B7" s="35" t="s">
        <v>83</v>
      </c>
      <c r="D7" s="32"/>
      <c r="F7" s="10"/>
      <c r="G7" s="9"/>
      <c r="I7" s="10"/>
      <c r="J7" s="9"/>
      <c r="K7" s="2"/>
    </row>
    <row r="8" spans="2:20" s="1" customFormat="1" x14ac:dyDescent="0.25">
      <c r="B8" s="35" t="s">
        <v>82</v>
      </c>
      <c r="D8" s="32"/>
      <c r="F8" s="10"/>
      <c r="G8" s="9"/>
      <c r="I8" s="10"/>
      <c r="J8" s="9"/>
      <c r="K8" s="2"/>
    </row>
    <row r="9" spans="2:20" s="1" customFormat="1" x14ac:dyDescent="0.25">
      <c r="B9" s="16" t="s">
        <v>116</v>
      </c>
      <c r="D9" s="11" t="s">
        <v>115</v>
      </c>
      <c r="F9" s="40" t="str">
        <f>D9</f>
        <v>{artid}</v>
      </c>
      <c r="G9" s="39" t="str">
        <f>F9</f>
        <v>{artid}</v>
      </c>
      <c r="I9" s="40" t="str">
        <f>F9</f>
        <v>{artid}</v>
      </c>
      <c r="J9" s="39" t="str">
        <f>G9</f>
        <v>{artid}</v>
      </c>
      <c r="K9" s="2"/>
    </row>
    <row r="10" spans="2:20" s="1" customFormat="1" x14ac:dyDescent="0.25">
      <c r="B10" s="16" t="s">
        <v>29</v>
      </c>
      <c r="D10" s="32" t="s">
        <v>28</v>
      </c>
      <c r="F10" s="10" t="s">
        <v>27</v>
      </c>
      <c r="G10" s="9" t="s">
        <v>27</v>
      </c>
      <c r="I10" s="10" t="s">
        <v>26</v>
      </c>
      <c r="J10" s="9" t="s">
        <v>26</v>
      </c>
      <c r="K10" s="2"/>
    </row>
    <row r="11" spans="2:20" s="1" customFormat="1" x14ac:dyDescent="0.25">
      <c r="B11" s="16" t="s">
        <v>71</v>
      </c>
      <c r="D11" s="11" t="s">
        <v>114</v>
      </c>
      <c r="F11" s="40" t="str">
        <f>D11</f>
        <v>{title}</v>
      </c>
      <c r="G11" s="39" t="str">
        <f>F11</f>
        <v>{title}</v>
      </c>
      <c r="I11" s="40" t="str">
        <f>F11</f>
        <v>{title}</v>
      </c>
      <c r="J11" s="39" t="str">
        <f>G11</f>
        <v>{title}</v>
      </c>
      <c r="K11" s="2"/>
    </row>
    <row r="12" spans="2:20" s="1" customFormat="1" x14ac:dyDescent="0.25">
      <c r="B12" s="16" t="s">
        <v>113</v>
      </c>
      <c r="D12" s="11" t="s">
        <v>112</v>
      </c>
      <c r="F12" s="40" t="str">
        <f>D12</f>
        <v>{teaser-tekst}</v>
      </c>
      <c r="G12" s="39" t="str">
        <f>F12</f>
        <v>{teaser-tekst}</v>
      </c>
      <c r="I12" s="40" t="str">
        <f>F12</f>
        <v>{teaser-tekst}</v>
      </c>
      <c r="J12" s="39" t="str">
        <f>G12</f>
        <v>{teaser-tekst}</v>
      </c>
      <c r="K12" s="2"/>
    </row>
    <row r="13" spans="2:20" s="1" customFormat="1" x14ac:dyDescent="0.25">
      <c r="B13" s="16" t="s">
        <v>111</v>
      </c>
      <c r="D13" s="11" t="s">
        <v>110</v>
      </c>
      <c r="F13" s="40" t="str">
        <f>D13</f>
        <v>{url naar afbeelding}</v>
      </c>
      <c r="G13" s="39" t="str">
        <f>F13</f>
        <v>{url naar afbeelding}</v>
      </c>
      <c r="I13" s="40" t="str">
        <f>F13</f>
        <v>{url naar afbeelding}</v>
      </c>
      <c r="J13" s="39" t="str">
        <f>G13</f>
        <v>{url naar afbeelding}</v>
      </c>
      <c r="K13" s="2"/>
    </row>
    <row r="14" spans="2:20" s="1" customFormat="1" x14ac:dyDescent="0.25">
      <c r="B14" s="16" t="s">
        <v>109</v>
      </c>
      <c r="D14" s="11" t="s">
        <v>108</v>
      </c>
      <c r="F14" s="40" t="str">
        <f>D14</f>
        <v>{url naar artikel}</v>
      </c>
      <c r="G14" s="39" t="str">
        <f>F14</f>
        <v>{url naar artikel}</v>
      </c>
      <c r="I14" s="40" t="str">
        <f>F14</f>
        <v>{url naar artikel}</v>
      </c>
      <c r="J14" s="39" t="str">
        <f>G14</f>
        <v>{url naar artikel}</v>
      </c>
      <c r="K14" s="2"/>
    </row>
    <row r="15" spans="2:20" s="1" customFormat="1" x14ac:dyDescent="0.25">
      <c r="B15" s="3" t="s">
        <v>107</v>
      </c>
      <c r="D15" s="32"/>
      <c r="F15" s="40" t="s">
        <v>106</v>
      </c>
      <c r="G15" s="39" t="str">
        <f>F15</f>
        <v>{nieuwssectie}</v>
      </c>
      <c r="I15" s="40" t="str">
        <f>F15</f>
        <v>{nieuwssectie}</v>
      </c>
      <c r="J15" s="39" t="str">
        <f>G15</f>
        <v>{nieuwssectie}</v>
      </c>
      <c r="K15" s="2"/>
    </row>
    <row r="16" spans="2:20" s="1" customFormat="1" x14ac:dyDescent="0.25">
      <c r="B16" s="35" t="s">
        <v>105</v>
      </c>
      <c r="D16" s="32"/>
      <c r="F16" s="10"/>
      <c r="G16" s="9"/>
      <c r="I16" s="10"/>
      <c r="J16" s="9"/>
      <c r="K16" s="2"/>
    </row>
    <row r="17" spans="2:20" s="1" customFormat="1" x14ac:dyDescent="0.25">
      <c r="B17" s="35" t="s">
        <v>104</v>
      </c>
      <c r="D17" s="32"/>
      <c r="F17" s="10"/>
      <c r="G17" s="9"/>
      <c r="I17" s="10"/>
      <c r="J17" s="9"/>
      <c r="K17" s="2"/>
    </row>
    <row r="18" spans="2:20" s="1" customFormat="1" x14ac:dyDescent="0.25">
      <c r="B18" s="35" t="s">
        <v>103</v>
      </c>
      <c r="D18" s="32"/>
      <c r="F18" s="10"/>
      <c r="G18" s="9"/>
      <c r="I18" s="10"/>
      <c r="J18" s="9"/>
      <c r="K18" s="2"/>
    </row>
    <row r="19" spans="2:20" s="1" customFormat="1" x14ac:dyDescent="0.25">
      <c r="B19" s="16" t="s">
        <v>102</v>
      </c>
      <c r="D19" s="11" t="s">
        <v>101</v>
      </c>
      <c r="F19" s="40" t="str">
        <f>D19</f>
        <v>{1,2,3,4,5,..}</v>
      </c>
      <c r="G19" s="39" t="str">
        <f>F19</f>
        <v>{1,2,3,4,5,..}</v>
      </c>
      <c r="I19" s="40" t="str">
        <f>F19</f>
        <v>{1,2,3,4,5,..}</v>
      </c>
      <c r="J19" s="39" t="str">
        <f>G19</f>
        <v>{1,2,3,4,5,..}</v>
      </c>
      <c r="K19" s="2" t="s">
        <v>65</v>
      </c>
      <c r="L19" s="1" t="s">
        <v>100</v>
      </c>
    </row>
    <row r="20" spans="2:20" s="1" customFormat="1" x14ac:dyDescent="0.25">
      <c r="B20" s="35" t="s">
        <v>13</v>
      </c>
      <c r="D20" s="32"/>
      <c r="F20" s="10"/>
      <c r="G20" s="9"/>
      <c r="I20" s="10"/>
      <c r="J20" s="9"/>
      <c r="K20" s="2"/>
    </row>
    <row r="21" spans="2:20" s="1" customFormat="1" x14ac:dyDescent="0.25">
      <c r="B21" s="16" t="s">
        <v>99</v>
      </c>
      <c r="D21" s="11" t="s">
        <v>98</v>
      </c>
      <c r="F21" s="40" t="s">
        <v>97</v>
      </c>
      <c r="G21" s="39" t="str">
        <f>F21</f>
        <v>{uu:mm} / {d mmm}</v>
      </c>
      <c r="I21" s="40" t="str">
        <f>F21</f>
        <v>{uu:mm} / {d mmm}</v>
      </c>
      <c r="J21" s="39" t="str">
        <f>G21</f>
        <v>{uu:mm} / {d mmm}</v>
      </c>
      <c r="K21" s="2" t="s">
        <v>65</v>
      </c>
      <c r="L21" s="1" t="s">
        <v>96</v>
      </c>
      <c r="M21" s="3" t="s">
        <v>95</v>
      </c>
      <c r="N21" s="49">
        <f ca="1">NOW()</f>
        <v>45223.561044675924</v>
      </c>
      <c r="O21" s="3" t="s">
        <v>94</v>
      </c>
      <c r="P21" s="48">
        <f ca="1">NOW()</f>
        <v>45223.561044675924</v>
      </c>
      <c r="Q21" s="3" t="s">
        <v>93</v>
      </c>
      <c r="R21" s="47" t="str">
        <f ca="1">LOWER(TEXT(NOW(),"d mmm"))</f>
        <v>24 oct</v>
      </c>
      <c r="T21" s="1" t="s">
        <v>92</v>
      </c>
    </row>
    <row r="22" spans="2:20" s="1" customFormat="1" x14ac:dyDescent="0.25">
      <c r="B22" s="16" t="s">
        <v>91</v>
      </c>
      <c r="D22" s="11" t="s">
        <v>90</v>
      </c>
      <c r="F22" s="40" t="str">
        <f>D22</f>
        <v>{url naar vierkante versie afb.}</v>
      </c>
      <c r="G22" s="39" t="str">
        <f>F22</f>
        <v>{url naar vierkante versie afb.}</v>
      </c>
      <c r="I22" s="40" t="str">
        <f>F22</f>
        <v>{url naar vierkante versie afb.}</v>
      </c>
      <c r="J22" s="39" t="str">
        <f>G22</f>
        <v>{url naar vierkante versie afb.}</v>
      </c>
      <c r="K22" s="2"/>
    </row>
    <row r="24" spans="2:20" s="15" customFormat="1" ht="18.75" x14ac:dyDescent="0.25">
      <c r="B24" s="21" t="s">
        <v>89</v>
      </c>
      <c r="C24" s="46" t="s">
        <v>88</v>
      </c>
      <c r="D24" s="45" t="s">
        <v>87</v>
      </c>
      <c r="E24" s="45"/>
      <c r="F24" s="45"/>
      <c r="G24" s="45"/>
      <c r="H24" s="45"/>
      <c r="I24" s="45"/>
      <c r="J24" s="44"/>
      <c r="K24" s="43"/>
    </row>
    <row r="25" spans="2:20" s="1" customFormat="1" x14ac:dyDescent="0.25">
      <c r="B25" s="35" t="s">
        <v>86</v>
      </c>
      <c r="D25" s="32"/>
      <c r="F25" s="10"/>
      <c r="G25" s="9"/>
      <c r="I25" s="10"/>
      <c r="J25" s="9"/>
      <c r="K25" s="2"/>
    </row>
    <row r="26" spans="2:20" s="1" customFormat="1" x14ac:dyDescent="0.25">
      <c r="B26" s="3" t="s">
        <v>85</v>
      </c>
      <c r="D26" s="32"/>
      <c r="F26" s="10"/>
      <c r="G26" s="9"/>
      <c r="I26" s="10"/>
      <c r="J26" s="9"/>
      <c r="K26" s="2"/>
    </row>
    <row r="27" spans="2:20" s="1" customFormat="1" x14ac:dyDescent="0.25">
      <c r="B27" s="35" t="s">
        <v>84</v>
      </c>
      <c r="D27" s="32"/>
      <c r="F27" s="10"/>
      <c r="G27" s="9"/>
      <c r="I27" s="10"/>
      <c r="J27" s="9"/>
      <c r="K27" s="2"/>
    </row>
    <row r="28" spans="2:20" s="1" customFormat="1" x14ac:dyDescent="0.25">
      <c r="B28" s="35" t="s">
        <v>83</v>
      </c>
      <c r="D28" s="32"/>
      <c r="F28" s="10"/>
      <c r="G28" s="9"/>
      <c r="I28" s="10"/>
      <c r="J28" s="9"/>
      <c r="K28" s="2"/>
    </row>
    <row r="29" spans="2:20" s="1" customFormat="1" x14ac:dyDescent="0.25">
      <c r="B29" s="35" t="s">
        <v>82</v>
      </c>
      <c r="D29" s="32"/>
      <c r="F29" s="10"/>
      <c r="G29" s="9"/>
      <c r="I29" s="10"/>
      <c r="J29" s="9"/>
      <c r="K29" s="2"/>
    </row>
    <row r="30" spans="2:20" s="1" customFormat="1" x14ac:dyDescent="0.25">
      <c r="B30" s="16" t="s">
        <v>29</v>
      </c>
      <c r="D30" s="32" t="s">
        <v>28</v>
      </c>
      <c r="F30" s="10" t="s">
        <v>27</v>
      </c>
      <c r="G30" s="9" t="s">
        <v>27</v>
      </c>
      <c r="I30" s="10" t="s">
        <v>26</v>
      </c>
      <c r="J30" s="9" t="s">
        <v>26</v>
      </c>
      <c r="K30" s="2"/>
    </row>
    <row r="31" spans="2:20" s="1" customFormat="1" x14ac:dyDescent="0.25">
      <c r="B31" s="16" t="s">
        <v>25</v>
      </c>
      <c r="D31" s="32" t="s">
        <v>24</v>
      </c>
      <c r="F31" s="10" t="s">
        <v>23</v>
      </c>
      <c r="G31" s="9" t="s">
        <v>22</v>
      </c>
      <c r="I31" s="10" t="s">
        <v>23</v>
      </c>
      <c r="J31" s="9" t="s">
        <v>22</v>
      </c>
      <c r="K31" s="2"/>
    </row>
    <row r="32" spans="2:20" s="1" customFormat="1" x14ac:dyDescent="0.25">
      <c r="B32" s="35" t="s">
        <v>81</v>
      </c>
      <c r="D32" s="32"/>
      <c r="F32" s="10"/>
      <c r="G32" s="9"/>
      <c r="I32" s="10"/>
      <c r="J32" s="9"/>
      <c r="K32" s="2"/>
    </row>
    <row r="33" spans="2:13" s="1" customFormat="1" x14ac:dyDescent="0.25">
      <c r="B33" s="35" t="s">
        <v>80</v>
      </c>
      <c r="D33" s="32"/>
      <c r="F33" s="10"/>
      <c r="G33" s="9"/>
      <c r="I33" s="10"/>
      <c r="J33" s="9"/>
      <c r="K33" s="2"/>
    </row>
    <row r="34" spans="2:13" s="1" customFormat="1" x14ac:dyDescent="0.25">
      <c r="B34" s="16" t="s">
        <v>79</v>
      </c>
      <c r="D34" s="11" t="s">
        <v>78</v>
      </c>
      <c r="F34" s="40" t="str">
        <f>D34</f>
        <v>{onderwerpregel}</v>
      </c>
      <c r="G34" s="39" t="str">
        <f>F34</f>
        <v>{onderwerpregel}</v>
      </c>
      <c r="I34" s="40" t="str">
        <f>G34</f>
        <v>{onderwerpregel}</v>
      </c>
      <c r="J34" s="39" t="str">
        <f>I34</f>
        <v>{onderwerpregel}</v>
      </c>
      <c r="K34" s="2"/>
    </row>
    <row r="35" spans="2:13" s="1" customFormat="1" x14ac:dyDescent="0.25">
      <c r="B35" s="16" t="s">
        <v>77</v>
      </c>
      <c r="D35" s="11" t="s">
        <v>76</v>
      </c>
      <c r="F35" s="10"/>
      <c r="G35" s="9"/>
      <c r="I35" s="10"/>
      <c r="J35" s="9"/>
      <c r="K35" s="2"/>
    </row>
    <row r="36" spans="2:13" s="1" customFormat="1" x14ac:dyDescent="0.25">
      <c r="B36" s="16" t="s">
        <v>75</v>
      </c>
      <c r="D36" s="11" t="s">
        <v>74</v>
      </c>
      <c r="F36" s="10"/>
      <c r="G36" s="39" t="s">
        <v>74</v>
      </c>
      <c r="I36" s="40" t="s">
        <v>74</v>
      </c>
      <c r="J36" s="39" t="s">
        <v>74</v>
      </c>
      <c r="K36" s="2"/>
    </row>
    <row r="37" spans="2:13" s="1" customFormat="1" x14ac:dyDescent="0.25">
      <c r="B37" s="35" t="s">
        <v>73</v>
      </c>
      <c r="D37" s="32"/>
      <c r="F37" s="10"/>
      <c r="G37" s="9"/>
      <c r="I37" s="10"/>
      <c r="J37" s="9"/>
      <c r="K37" s="2"/>
    </row>
    <row r="38" spans="2:13" s="1" customFormat="1" x14ac:dyDescent="0.25">
      <c r="B38" s="3" t="s">
        <v>72</v>
      </c>
      <c r="D38" s="32"/>
      <c r="F38" s="10"/>
      <c r="G38" s="9"/>
      <c r="I38" s="10"/>
      <c r="J38" s="9"/>
      <c r="K38" s="2"/>
    </row>
    <row r="39" spans="2:13" s="1" customFormat="1" x14ac:dyDescent="0.25">
      <c r="B39" s="3" t="s">
        <v>71</v>
      </c>
      <c r="D39" s="32"/>
      <c r="F39" s="10"/>
      <c r="G39" s="9"/>
      <c r="I39" s="10"/>
      <c r="J39" s="9"/>
      <c r="K39" s="2"/>
    </row>
    <row r="40" spans="2:13" s="1" customFormat="1" x14ac:dyDescent="0.25">
      <c r="B40" s="16" t="s">
        <v>70</v>
      </c>
      <c r="D40" s="11" t="s">
        <v>69</v>
      </c>
      <c r="F40" s="40" t="str">
        <f>D40</f>
        <v>{0,1,2}</v>
      </c>
      <c r="G40" s="39" t="str">
        <f>F40</f>
        <v>{0,1,2}</v>
      </c>
      <c r="I40" s="40" t="str">
        <f>G40</f>
        <v>{0,1,2}</v>
      </c>
      <c r="J40" s="39" t="str">
        <f>I40</f>
        <v>{0,1,2}</v>
      </c>
      <c r="K40" s="2"/>
    </row>
    <row r="41" spans="2:13" s="1" customFormat="1" x14ac:dyDescent="0.25">
      <c r="B41" s="3" t="s">
        <v>68</v>
      </c>
      <c r="D41" s="11"/>
      <c r="F41" s="10"/>
      <c r="G41" s="9"/>
      <c r="I41" s="10"/>
      <c r="J41" s="9"/>
      <c r="K41" s="2"/>
    </row>
    <row r="42" spans="2:13" s="1" customFormat="1" x14ac:dyDescent="0.25">
      <c r="B42" s="16" t="s">
        <v>67</v>
      </c>
      <c r="D42" s="11" t="s">
        <v>66</v>
      </c>
      <c r="F42" s="40" t="str">
        <f>D42</f>
        <v>{artid1},{artid2},{artidn}</v>
      </c>
      <c r="G42" s="39" t="str">
        <f>F42</f>
        <v>{artid1},{artid2},{artidn}</v>
      </c>
      <c r="I42" s="40" t="str">
        <f>G42</f>
        <v>{artid1},{artid2},{artidn}</v>
      </c>
      <c r="J42" s="39" t="str">
        <f>I42</f>
        <v>{artid1},{artid2},{artidn}</v>
      </c>
      <c r="K42" s="37" t="s">
        <v>65</v>
      </c>
      <c r="L42" s="42" t="s">
        <v>64</v>
      </c>
      <c r="M42" s="33"/>
    </row>
    <row r="43" spans="2:13" s="1" customFormat="1" x14ac:dyDescent="0.25">
      <c r="B43" s="3" t="s">
        <v>63</v>
      </c>
      <c r="D43" s="32"/>
      <c r="F43" s="10"/>
      <c r="G43" s="39" t="str">
        <f>G42</f>
        <v>{artid1},{artid2},{artidn}</v>
      </c>
      <c r="I43" s="40" t="str">
        <f>I42</f>
        <v>{artid1},{artid2},{artidn}</v>
      </c>
      <c r="J43" s="39"/>
      <c r="K43" s="37"/>
      <c r="L43" s="41" t="s">
        <v>35</v>
      </c>
      <c r="M43" s="30" t="s">
        <v>62</v>
      </c>
    </row>
    <row r="44" spans="2:13" s="1" customFormat="1" x14ac:dyDescent="0.25">
      <c r="B44" s="3" t="s">
        <v>61</v>
      </c>
      <c r="D44" s="32"/>
      <c r="F44" s="10"/>
      <c r="G44" s="9"/>
      <c r="I44" s="40" t="str">
        <f>I43</f>
        <v>{artid1},{artid2},{artidn}</v>
      </c>
      <c r="J44" s="39"/>
      <c r="K44" s="37"/>
      <c r="L44" s="38" t="s">
        <v>60</v>
      </c>
      <c r="M44" s="33"/>
    </row>
    <row r="45" spans="2:13" s="1" customFormat="1" x14ac:dyDescent="0.25">
      <c r="B45" s="3" t="s">
        <v>59</v>
      </c>
      <c r="D45" s="32"/>
      <c r="F45" s="10"/>
      <c r="G45" s="9"/>
      <c r="I45" s="40" t="str">
        <f>I44</f>
        <v>{artid1},{artid2},{artidn}</v>
      </c>
      <c r="J45" s="39"/>
      <c r="K45" s="37"/>
      <c r="L45" s="36" t="s">
        <v>35</v>
      </c>
      <c r="M45" s="30" t="s">
        <v>58</v>
      </c>
    </row>
    <row r="46" spans="2:13" s="1" customFormat="1" x14ac:dyDescent="0.25">
      <c r="B46" s="3" t="s">
        <v>57</v>
      </c>
      <c r="D46" s="32"/>
      <c r="F46" s="10"/>
      <c r="G46" s="9"/>
      <c r="I46" s="10"/>
      <c r="J46" s="9"/>
      <c r="K46" s="37"/>
      <c r="L46" s="38" t="s">
        <v>56</v>
      </c>
      <c r="M46" s="33"/>
    </row>
    <row r="47" spans="2:13" s="1" customFormat="1" x14ac:dyDescent="0.25">
      <c r="B47" s="3" t="s">
        <v>55</v>
      </c>
      <c r="D47" s="32"/>
      <c r="F47" s="10"/>
      <c r="G47" s="9"/>
      <c r="I47" s="10"/>
      <c r="J47" s="9"/>
      <c r="K47" s="37"/>
      <c r="L47" s="36" t="s">
        <v>54</v>
      </c>
      <c r="M47" s="33"/>
    </row>
    <row r="48" spans="2:13" s="1" customFormat="1" x14ac:dyDescent="0.25">
      <c r="B48" s="35" t="s">
        <v>53</v>
      </c>
      <c r="D48" s="32"/>
      <c r="F48" s="10"/>
      <c r="G48" s="9"/>
      <c r="I48" s="10"/>
      <c r="J48" s="9"/>
      <c r="K48" s="2"/>
      <c r="L48" s="36" t="s">
        <v>52</v>
      </c>
      <c r="M48" s="30" t="s">
        <v>51</v>
      </c>
    </row>
    <row r="49" spans="2:13" s="1" customFormat="1" x14ac:dyDescent="0.25">
      <c r="B49" s="35" t="s">
        <v>50</v>
      </c>
      <c r="D49" s="32"/>
      <c r="F49" s="10"/>
      <c r="G49" s="9"/>
      <c r="I49" s="10"/>
      <c r="J49" s="9"/>
      <c r="K49" s="2"/>
      <c r="L49" s="34" t="s">
        <v>49</v>
      </c>
      <c r="M49" s="33"/>
    </row>
    <row r="50" spans="2:13" s="1" customFormat="1" x14ac:dyDescent="0.25">
      <c r="B50" s="35" t="s">
        <v>48</v>
      </c>
      <c r="D50" s="32"/>
      <c r="F50" s="10"/>
      <c r="G50" s="9"/>
      <c r="I50" s="10"/>
      <c r="J50" s="9"/>
      <c r="K50" s="2"/>
      <c r="L50" s="31" t="s">
        <v>47</v>
      </c>
      <c r="M50" s="30" t="s">
        <v>39</v>
      </c>
    </row>
    <row r="51" spans="2:13" s="1" customFormat="1" x14ac:dyDescent="0.25">
      <c r="B51" s="35" t="s">
        <v>46</v>
      </c>
      <c r="D51" s="32"/>
      <c r="F51" s="10"/>
      <c r="G51" s="9"/>
      <c r="I51" s="10"/>
      <c r="J51" s="9"/>
      <c r="K51" s="2"/>
      <c r="L51" s="31" t="s">
        <v>45</v>
      </c>
      <c r="M51" s="30" t="s">
        <v>39</v>
      </c>
    </row>
    <row r="52" spans="2:13" s="1" customFormat="1" x14ac:dyDescent="0.25">
      <c r="B52" s="35" t="s">
        <v>44</v>
      </c>
      <c r="D52" s="32"/>
      <c r="F52" s="10"/>
      <c r="G52" s="9"/>
      <c r="I52" s="10"/>
      <c r="J52" s="9"/>
      <c r="K52" s="2"/>
      <c r="L52" s="31" t="s">
        <v>43</v>
      </c>
      <c r="M52" s="30" t="s">
        <v>42</v>
      </c>
    </row>
    <row r="53" spans="2:13" s="1" customFormat="1" x14ac:dyDescent="0.25">
      <c r="B53" s="35" t="s">
        <v>41</v>
      </c>
      <c r="D53" s="32"/>
      <c r="F53" s="10"/>
      <c r="G53" s="9"/>
      <c r="I53" s="10"/>
      <c r="J53" s="9"/>
      <c r="K53" s="2"/>
      <c r="L53" s="31" t="s">
        <v>40</v>
      </c>
      <c r="M53" s="30" t="s">
        <v>39</v>
      </c>
    </row>
    <row r="54" spans="2:13" s="1" customFormat="1" x14ac:dyDescent="0.25">
      <c r="B54" s="3" t="s">
        <v>38</v>
      </c>
      <c r="D54" s="32"/>
      <c r="F54" s="10"/>
      <c r="G54" s="9"/>
      <c r="I54" s="10"/>
      <c r="J54" s="9"/>
      <c r="K54" s="2"/>
      <c r="L54" s="34" t="s">
        <v>37</v>
      </c>
      <c r="M54" s="33"/>
    </row>
    <row r="55" spans="2:13" s="1" customFormat="1" x14ac:dyDescent="0.25">
      <c r="B55" s="3" t="s">
        <v>36</v>
      </c>
      <c r="D55" s="32"/>
      <c r="F55" s="10"/>
      <c r="G55" s="9"/>
      <c r="I55" s="10"/>
      <c r="J55" s="9"/>
      <c r="K55" s="2"/>
      <c r="L55" s="31" t="s">
        <v>35</v>
      </c>
      <c r="M55" s="30" t="s">
        <v>34</v>
      </c>
    </row>
    <row r="56" spans="2:13" s="26" customFormat="1" ht="15.75" thickBot="1" x14ac:dyDescent="0.3">
      <c r="B56" s="29"/>
      <c r="K56" s="28"/>
      <c r="M56" s="27"/>
    </row>
    <row r="57" spans="2:13" s="23" customFormat="1" x14ac:dyDescent="0.25">
      <c r="B57" s="25"/>
      <c r="K57" s="24"/>
    </row>
    <row r="58" spans="2:13" s="15" customFormat="1" ht="18.75" x14ac:dyDescent="0.25">
      <c r="B58" s="21" t="s">
        <v>33</v>
      </c>
      <c r="C58" s="18"/>
      <c r="D58" s="20" t="s">
        <v>32</v>
      </c>
      <c r="E58" s="18"/>
      <c r="F58" s="19" t="s">
        <v>31</v>
      </c>
      <c r="G58" s="19"/>
      <c r="H58" s="18"/>
      <c r="I58" s="17" t="s">
        <v>30</v>
      </c>
      <c r="J58" s="17"/>
      <c r="K58" s="16" t="s">
        <v>17</v>
      </c>
      <c r="L58" s="1" t="s">
        <v>16</v>
      </c>
    </row>
    <row r="59" spans="2:13" s="1" customFormat="1" x14ac:dyDescent="0.25">
      <c r="B59" s="3" t="s">
        <v>29</v>
      </c>
      <c r="D59" s="7" t="s">
        <v>28</v>
      </c>
      <c r="E59" s="6"/>
      <c r="F59" s="14" t="s">
        <v>27</v>
      </c>
      <c r="G59" s="22" t="s">
        <v>27</v>
      </c>
      <c r="H59" s="6"/>
      <c r="I59" s="14" t="s">
        <v>26</v>
      </c>
      <c r="J59" s="22" t="s">
        <v>26</v>
      </c>
      <c r="K59" s="2"/>
    </row>
    <row r="60" spans="2:13" s="1" customFormat="1" x14ac:dyDescent="0.25">
      <c r="B60" s="3" t="s">
        <v>25</v>
      </c>
      <c r="D60" s="7" t="s">
        <v>24</v>
      </c>
      <c r="E60" s="6"/>
      <c r="F60" s="14" t="s">
        <v>23</v>
      </c>
      <c r="G60" s="22" t="s">
        <v>22</v>
      </c>
      <c r="H60" s="6"/>
      <c r="I60" s="14" t="s">
        <v>23</v>
      </c>
      <c r="J60" s="22" t="s">
        <v>22</v>
      </c>
      <c r="K60" s="2"/>
    </row>
    <row r="61" spans="2:13" s="1" customFormat="1" x14ac:dyDescent="0.25">
      <c r="B61" s="3"/>
      <c r="K61" s="2"/>
    </row>
    <row r="62" spans="2:13" s="15" customFormat="1" ht="18.75" x14ac:dyDescent="0.25">
      <c r="B62" s="21" t="s">
        <v>21</v>
      </c>
      <c r="C62" s="18"/>
      <c r="D62" s="20" t="s">
        <v>20</v>
      </c>
      <c r="E62" s="18"/>
      <c r="F62" s="19" t="s">
        <v>19</v>
      </c>
      <c r="G62" s="19"/>
      <c r="H62" s="18"/>
      <c r="I62" s="17" t="s">
        <v>18</v>
      </c>
      <c r="J62" s="17"/>
      <c r="K62" s="16" t="s">
        <v>17</v>
      </c>
      <c r="L62" s="1" t="s">
        <v>16</v>
      </c>
    </row>
    <row r="63" spans="2:13" s="1" customFormat="1" x14ac:dyDescent="0.25">
      <c r="B63" s="3" t="s">
        <v>15</v>
      </c>
      <c r="D63" s="11" t="s">
        <v>14</v>
      </c>
      <c r="F63" s="14"/>
      <c r="G63" s="9"/>
      <c r="I63" s="10"/>
      <c r="J63" s="9"/>
      <c r="K63" s="2"/>
    </row>
    <row r="64" spans="2:13" s="1" customFormat="1" x14ac:dyDescent="0.25">
      <c r="B64" s="3" t="s">
        <v>13</v>
      </c>
      <c r="D64" s="11" t="s">
        <v>12</v>
      </c>
      <c r="F64" s="13" t="s">
        <v>11</v>
      </c>
      <c r="G64" s="12"/>
      <c r="I64" s="13" t="s">
        <v>11</v>
      </c>
      <c r="J64" s="12"/>
      <c r="K64" s="2"/>
    </row>
    <row r="65" spans="2:11" s="1" customFormat="1" x14ac:dyDescent="0.25">
      <c r="B65" s="3" t="s">
        <v>10</v>
      </c>
      <c r="D65" s="11" t="s">
        <v>8</v>
      </c>
      <c r="F65" s="10"/>
      <c r="G65" s="9"/>
      <c r="I65" s="10"/>
      <c r="J65" s="9"/>
      <c r="K65" s="2"/>
    </row>
    <row r="66" spans="2:11" s="1" customFormat="1" x14ac:dyDescent="0.25">
      <c r="B66" s="3" t="s">
        <v>9</v>
      </c>
      <c r="D66" s="11" t="s">
        <v>8</v>
      </c>
      <c r="F66" s="10"/>
      <c r="G66" s="9"/>
      <c r="I66" s="10"/>
      <c r="J66" s="9"/>
      <c r="K66" s="2"/>
    </row>
    <row r="68" spans="2:11" s="1" customFormat="1" x14ac:dyDescent="0.25">
      <c r="B68" s="3" t="s">
        <v>7</v>
      </c>
      <c r="D68" s="7" t="s">
        <v>6</v>
      </c>
      <c r="E68" s="6"/>
      <c r="F68" s="8" t="s">
        <v>5</v>
      </c>
      <c r="G68" s="4"/>
      <c r="H68" s="6"/>
      <c r="I68" s="8" t="s">
        <v>4</v>
      </c>
      <c r="J68" s="4"/>
      <c r="K68" s="2"/>
    </row>
    <row r="69" spans="2:11" s="1" customFormat="1" x14ac:dyDescent="0.25">
      <c r="B69" s="3" t="s">
        <v>3</v>
      </c>
      <c r="D69" s="7" t="s">
        <v>2</v>
      </c>
      <c r="E69" s="6"/>
      <c r="F69" s="5" t="s">
        <v>1</v>
      </c>
      <c r="G69" s="4"/>
      <c r="H69" s="6"/>
      <c r="I69" s="5" t="s">
        <v>0</v>
      </c>
      <c r="J69" s="4"/>
      <c r="K69" s="2"/>
    </row>
  </sheetData>
  <mergeCells count="14">
    <mergeCell ref="F1:G1"/>
    <mergeCell ref="I1:J1"/>
    <mergeCell ref="D3:J3"/>
    <mergeCell ref="D24:J24"/>
    <mergeCell ref="F58:G58"/>
    <mergeCell ref="I58:J58"/>
    <mergeCell ref="F69:G69"/>
    <mergeCell ref="I69:J69"/>
    <mergeCell ref="F62:G62"/>
    <mergeCell ref="I62:J62"/>
    <mergeCell ref="F64:G64"/>
    <mergeCell ref="I64:J64"/>
    <mergeCell ref="F68:G68"/>
    <mergeCell ref="I68:J68"/>
  </mergeCells>
  <hyperlinks>
    <hyperlink ref="M43" r:id="rId1" xr:uid="{226577C1-EED9-4E0B-9ACF-E1ED0A867F1B}"/>
    <hyperlink ref="M45" r:id="rId2" xr:uid="{EB3C349F-8F21-434F-8762-52484518BFDA}"/>
    <hyperlink ref="M48" r:id="rId3" xr:uid="{A6E48A19-17FE-4EC4-86A7-E07B6E6DC941}"/>
    <hyperlink ref="M50" r:id="rId4" xr:uid="{1E01801F-A42B-438E-9E2B-180863905BD1}"/>
    <hyperlink ref="M51" r:id="rId5" xr:uid="{B2EF1053-A5E7-49AF-A63E-B7DA5C279E1A}"/>
    <hyperlink ref="M52" r:id="rId6" xr:uid="{CC962B92-E36B-4EA4-AC39-DCAD1151F0A4}"/>
    <hyperlink ref="M53" r:id="rId7" xr:uid="{A81038A1-A4C8-44B8-A7A6-0DEBBFDB45C3}"/>
    <hyperlink ref="M55" r:id="rId8" xr:uid="{38228B6B-F140-4508-8060-7F84EA78C4D1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9709870F777144B470C25AE6D0B5F6" ma:contentTypeVersion="17" ma:contentTypeDescription="Create a new document." ma:contentTypeScope="" ma:versionID="e498a9191dc2b20d2ca02d2478b33b8f">
  <xsd:schema xmlns:xsd="http://www.w3.org/2001/XMLSchema" xmlns:xs="http://www.w3.org/2001/XMLSchema" xmlns:p="http://schemas.microsoft.com/office/2006/metadata/properties" xmlns:ns2="2e77ad15-1e36-46fb-954c-f1646ba80567" xmlns:ns3="bd6e6786-9977-47bf-96d3-f191640853a0" xmlns:ns4="c143f2e0-948c-4f90-8a2d-4e2b8597dc76" targetNamespace="http://schemas.microsoft.com/office/2006/metadata/properties" ma:root="true" ma:fieldsID="0a27d48e135632ec6db5438c11752b50" ns2:_="" ns3:_="" ns4:_="">
    <xsd:import namespace="2e77ad15-1e36-46fb-954c-f1646ba80567"/>
    <xsd:import namespace="bd6e6786-9977-47bf-96d3-f191640853a0"/>
    <xsd:import namespace="c143f2e0-948c-4f90-8a2d-4e2b8597dc7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77ad15-1e36-46fb-954c-f1646ba80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f6e60c1-e369-40b8-8741-ea29f53505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6e6786-9977-47bf-96d3-f191640853a0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43f2e0-948c-4f90-8a2d-4e2b8597dc76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ba5725bd-8836-42f9-8438-57799b884bdc}" ma:internalName="TaxCatchAll" ma:showField="CatchAllData" ma:web="c143f2e0-948c-4f90-8a2d-4e2b8597dc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e77ad15-1e36-46fb-954c-f1646ba80567">
      <Terms xmlns="http://schemas.microsoft.com/office/infopath/2007/PartnerControls"/>
    </lcf76f155ced4ddcb4097134ff3c332f>
    <TaxCatchAll xmlns="c143f2e0-948c-4f90-8a2d-4e2b8597dc76" xsi:nil="true"/>
  </documentManagement>
</p:properties>
</file>

<file path=customXml/itemProps1.xml><?xml version="1.0" encoding="utf-8"?>
<ds:datastoreItem xmlns:ds="http://schemas.openxmlformats.org/officeDocument/2006/customXml" ds:itemID="{DD280651-6F31-46F8-BBDC-443B046A6850}"/>
</file>

<file path=customXml/itemProps2.xml><?xml version="1.0" encoding="utf-8"?>
<ds:datastoreItem xmlns:ds="http://schemas.openxmlformats.org/officeDocument/2006/customXml" ds:itemID="{0028B64A-1265-4731-9996-2985F183E3C5}"/>
</file>

<file path=customXml/itemProps3.xml><?xml version="1.0" encoding="utf-8"?>
<ds:datastoreItem xmlns:ds="http://schemas.openxmlformats.org/officeDocument/2006/customXml" ds:itemID="{9EF0B22C-DAD9-4CDD-9938-66F9EE05D9B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 LEVEL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Sander van Ketel</dc:creator>
  <cp:lastModifiedBy>Sander van Ketel</cp:lastModifiedBy>
  <dcterms:created xsi:type="dcterms:W3CDTF">2023-10-24T11:27:53Z</dcterms:created>
  <dcterms:modified xsi:type="dcterms:W3CDTF">2023-10-24T11:28:55Z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0x010100A19709870F777144B470C25AE6D0B5F6</vt:lpwstr>
  </property>
</Properties>
</file>